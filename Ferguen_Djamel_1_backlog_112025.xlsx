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jamel\Desktop\Formation\Module_12\Livrables MVP\Livrables\"/>
    </mc:Choice>
  </mc:AlternateContent>
  <xr:revisionPtr revIDLastSave="0" documentId="13_ncr:1_{49BD744A-AAEA-46DC-90C1-A7BDB2F96A28}" xr6:coauthVersionLast="47" xr6:coauthVersionMax="47" xr10:uidLastSave="{00000000-0000-0000-0000-000000000000}"/>
  <bookViews>
    <workbookView xWindow="23880" yWindow="-120" windowWidth="25440" windowHeight="15270" xr2:uid="{00000000-000D-0000-FFFF-FFFF00000000}"/>
  </bookViews>
  <sheets>
    <sheet name="Backlog" sheetId="1" r:id="rId1"/>
  </sheets>
  <calcPr calcId="191029"/>
  <extLst>
    <ext uri="GoogleSheetsCustomDataVersion1">
      <go:sheetsCustomData xmlns:go="http://customooxmlschemas.google.com/" r:id="rId7" roundtripDataSignature="AMtx7miyehnus1Dlw45fGVNqF1YVur9ikw=="/>
    </ext>
  </extLst>
</workbook>
</file>

<file path=xl/calcChain.xml><?xml version="1.0" encoding="utf-8"?>
<calcChain xmlns="http://schemas.openxmlformats.org/spreadsheetml/2006/main">
  <c r="M11" i="1" l="1"/>
  <c r="M10" i="1"/>
  <c r="M9" i="1"/>
  <c r="M8" i="1"/>
  <c r="M6" i="1"/>
  <c r="M5" i="1"/>
  <c r="M3" i="1"/>
  <c r="M40" i="1"/>
  <c r="M39" i="1"/>
  <c r="M28" i="1"/>
  <c r="M34" i="1"/>
  <c r="M33" i="1"/>
  <c r="M36" i="1"/>
  <c r="M37" i="1"/>
  <c r="M38" i="1"/>
  <c r="M35" i="1"/>
  <c r="M30" i="1"/>
  <c r="M31" i="1"/>
  <c r="M32" i="1"/>
  <c r="M29" i="1"/>
  <c r="M26" i="1"/>
  <c r="M27" i="1"/>
  <c r="M25" i="1"/>
  <c r="M17" i="1"/>
</calcChain>
</file>

<file path=xl/sharedStrings.xml><?xml version="1.0" encoding="utf-8"?>
<sst xmlns="http://schemas.openxmlformats.org/spreadsheetml/2006/main" count="186" uniqueCount="132">
  <si>
    <t>Titre</t>
  </si>
  <si>
    <t>En tant que</t>
  </si>
  <si>
    <t>Je veux...</t>
  </si>
  <si>
    <t>...afin de...</t>
  </si>
  <si>
    <t>Pondération</t>
  </si>
  <si>
    <t>Données nécessaires</t>
  </si>
  <si>
    <t>Connexion via une adresse mail</t>
  </si>
  <si>
    <t xml:space="preserve">Utilisateur de l'application </t>
  </si>
  <si>
    <t>pouvoir me connecter à mon compte sur l'application mobile en utilisant une adresse mail</t>
  </si>
  <si>
    <t>je peux voir les informations me concernant (infos personnelles, photos prises, articles suggérés, ...)</t>
  </si>
  <si>
    <t>A définir en relatif par rapport aux autres user stories en donnant un chiffre parmi : 1, 3, 5, 8, 13, 20, 50, 100.
1 représentant une user story très simple et 100 une très complexe.</t>
  </si>
  <si>
    <t xml:space="preserve">- adresse mail utilisateur
- mot de passe </t>
  </si>
  <si>
    <t>Création du compte utilisateur via mail</t>
  </si>
  <si>
    <t>Nouvel utilisateur</t>
  </si>
  <si>
    <t>Créer un compte utilisateur par email</t>
  </si>
  <si>
    <t>Me connecter de façon sécurisée à l'application</t>
  </si>
  <si>
    <t>Création du compte utilisateur via GAFA</t>
  </si>
  <si>
    <t>Créer un compte utilisateur via Facebook, Gmail ou Apple</t>
  </si>
  <si>
    <t>- accès aux comptes GAFA</t>
  </si>
  <si>
    <t>Connexion à l'application via mail</t>
  </si>
  <si>
    <t>Utilisateur enregistré</t>
  </si>
  <si>
    <t>Me connecter à l'application avec mon adresse mail</t>
  </si>
  <si>
    <t>Utiliser l'application en toute sécurité</t>
  </si>
  <si>
    <t>Connexion à l'application via GAFA</t>
  </si>
  <si>
    <t>Me connecter à l'application via un compte GAFA</t>
  </si>
  <si>
    <t>Déconnexion de l'application</t>
  </si>
  <si>
    <t>Me déconnecter de l'application</t>
  </si>
  <si>
    <t>Sécuriser mon compte et empêcher l'accès non autorisé</t>
  </si>
  <si>
    <t>Aucun spécifique</t>
  </si>
  <si>
    <t>Suppression du compte</t>
  </si>
  <si>
    <t>Supprimer mon compte</t>
  </si>
  <si>
    <t>Effacer mes données personnelles conformément au RGPD</t>
  </si>
  <si>
    <t>Suppression de toutes les données utilisateurs collectées sauf celles autorisées par RGPD</t>
  </si>
  <si>
    <t>Éditer mon profil v0</t>
  </si>
  <si>
    <t>Renseigner mes principales informations personnelles</t>
  </si>
  <si>
    <t>Les enregistrer en base</t>
  </si>
  <si>
    <t>- nom</t>
  </si>
  <si>
    <t>- prénom</t>
  </si>
  <si>
    <t>- adresse</t>
  </si>
  <si>
    <t>- âge</t>
  </si>
  <si>
    <t>- sexe</t>
  </si>
  <si>
    <t>- téléphone</t>
  </si>
  <si>
    <t>Éditer mon profil v1</t>
  </si>
  <si>
    <t>Renseigner des informations personnelles plus détaillées</t>
  </si>
  <si>
    <t>Les enregistrer et aider l'IA</t>
  </si>
  <si>
    <t>- photo de profil</t>
  </si>
  <si>
    <t>- taille</t>
  </si>
  <si>
    <t>- poids</t>
  </si>
  <si>
    <t>- mensurations</t>
  </si>
  <si>
    <t>- passions</t>
  </si>
  <si>
    <t>- goûts musicaux</t>
  </si>
  <si>
    <t>- style vestimentaire</t>
  </si>
  <si>
    <t>- description</t>
  </si>
  <si>
    <t>Soumettre une photo habillée v0</t>
  </si>
  <si>
    <t>Soumettre une seule photo habillée avec mes vêtements préférés</t>
  </si>
  <si>
    <t>Alimenter l'IA de recommandations</t>
  </si>
  <si>
    <t>Une photo limitée en taille</t>
  </si>
  <si>
    <t>Soumettre plusieurs photos habillées v1</t>
  </si>
  <si>
    <t>Soumettre plusieurs photos de moi habillé avec mes vêtements préférés</t>
  </si>
  <si>
    <t>Plusieurs photos limitées en taille et à 5 maximum</t>
  </si>
  <si>
    <t>Étiqueter les photos v2</t>
  </si>
  <si>
    <t>Ajouter des mots clés à mes photos</t>
  </si>
  <si>
    <t>Aider l'IA à mieux comprendre mes goûts</t>
  </si>
  <si>
    <t>Prévoir un champ de style pour chaque photo</t>
  </si>
  <si>
    <t>Effacer la photo v0</t>
  </si>
  <si>
    <t>Supprimer la photo enregistrée</t>
  </si>
  <si>
    <t>Nettoyer mon profil et mes données</t>
  </si>
  <si>
    <t>Identifier la photo à supprimer</t>
  </si>
  <si>
    <t>Effacer plusieurs photos</t>
  </si>
  <si>
    <t>Supprimer plusieurs photos</t>
  </si>
  <si>
    <t>Nettoyer mon profil et ajuster les recommandations IA</t>
  </si>
  <si>
    <t>Recevoir une liste 5 articles recommandés v0</t>
  </si>
  <si>
    <t>Recevoir une liste d'articles recommandés</t>
  </si>
  <si>
    <t>Sélectionner de nouveaux articles à acheter</t>
  </si>
  <si>
    <t>Accès à la base produit par le moteur IA; stockage des listes si moteur lent</t>
  </si>
  <si>
    <t>Recevoir une liste 5 articles recommandés v1</t>
  </si>
  <si>
    <t>Recevoir une liste d'articles présentée avec photos et prix</t>
  </si>
  <si>
    <t>Accès à la base produit par le moteur IA; extraction de données produit détaillées; stockage des listes si moteur lent</t>
  </si>
  <si>
    <t>Recevoir une liste d'articles recommandés filtrés v2</t>
  </si>
  <si>
    <t>Recevoir une liste d'articles filtrée par type et style</t>
  </si>
  <si>
    <t>Sélectionner plus facilement les articles souhaités</t>
  </si>
  <si>
    <t>Sélectionner des articles recommandés dans mon panier</t>
  </si>
  <si>
    <t>Ajouter des articles recommandés à mon panier</t>
  </si>
  <si>
    <t>Finaliser mon panier pour la commande</t>
  </si>
  <si>
    <t>Accès à la base produit et stockage</t>
  </si>
  <si>
    <t>Passer commande</t>
  </si>
  <si>
    <t>Valider mon panier, renseigner adresses et moyen de paiement</t>
  </si>
  <si>
    <t>Recevoir mes articles</t>
  </si>
  <si>
    <t>Informations bancaires; accès au SI</t>
  </si>
  <si>
    <t>- adresse mail utilisateur - mot de passe</t>
  </si>
  <si>
    <t>Accès à la base produit par le moteur IA; extraction de données produit détaillées;                                                    stockage des listes si moteur lent</t>
  </si>
  <si>
    <t>Modifier couleur et style d’un vêtement recommandé</t>
  </si>
  <si>
    <t>Pouvoir changer la couleur et le style d’un vêtement proposé par l’application</t>
  </si>
  <si>
    <t>Juger et décider si je souhaite porter ce vêtement</t>
  </si>
  <si>
    <t>- photo du vêtement
- options de couleur et style</t>
  </si>
  <si>
    <t>- liste des styles disponibles
- choix de l’utilisateur</t>
  </si>
  <si>
    <t>- liste des marques disponibles
- choix de l’utilisateur</t>
  </si>
  <si>
    <t>- identifiant de la photo
- score ou commentaire de l’utilisateur</t>
  </si>
  <si>
    <t>- identifiant utilisateur
- date dernière activité</t>
  </si>
  <si>
    <t>Garantir la conformité RGPD</t>
  </si>
  <si>
    <t>Aider l’IA à améliorer la pertinence des recommandations</t>
  </si>
  <si>
    <t>Recevoir des recommandations adaptées à mes marques préférées</t>
  </si>
  <si>
    <t>Recevoir des recommandations adaptées à mes goûts</t>
  </si>
  <si>
    <t>Sélectionner mes styles préférés parmi ceux proposés</t>
  </si>
  <si>
    <t>Sélectionner mes marques préférées parmi celles vendues par Fashion-Insta</t>
  </si>
  <si>
    <t>Pouvoir évaluer les propositions de vêtements</t>
  </si>
  <si>
    <t>Me désinscrire et effacer mes données après un délai d’inactivité</t>
  </si>
  <si>
    <t>Définir mes préférences de style</t>
  </si>
  <si>
    <t>Définir mes marques préférées</t>
  </si>
  <si>
    <t>Laisser un avis sur les recommandations</t>
  </si>
  <si>
    <t>Purge automatique et désinscription</t>
  </si>
  <si>
    <t>Priorité MoSCoW</t>
  </si>
  <si>
    <t>Must</t>
  </si>
  <si>
    <t>Should</t>
  </si>
  <si>
    <t>Could</t>
  </si>
  <si>
    <t>Remarques</t>
  </si>
  <si>
    <t>Nécessite analyse IA pour suggestions personnalisées ou extraction d’infos (profil utilisateur intelligent).</t>
  </si>
  <si>
    <t>Détection/segmentation de vêtements, classification image.</t>
  </si>
  <si>
    <t>Traitement batch d’images par le modèle IA.</t>
  </si>
  <si>
    <t>Annotation automatique, labeling assisté.</t>
  </si>
  <si>
    <t>Lien indirect IA (gestion du dataset entraîné avec les images).</t>
  </si>
  <si>
    <t>Système de recommandation IA simple.</t>
  </si>
  <si>
    <t>Recommandation enrichie (vision + métadonnées).</t>
  </si>
  <si>
    <t>Recommandation personnalisée par IA (filtrage collaboratif / clustering).</t>
  </si>
  <si>
    <t>IA de vision (segmentation + recoloration d’image).</t>
  </si>
  <si>
    <t>Entrée utilisateur exploitée pour apprentissage des recommandations.</t>
  </si>
  <si>
    <t>Variable d’entrée pour la personnalisation IA.</t>
  </si>
  <si>
    <t>Sert de feedback à la boucle d’apprentissage du moteur de recommandation.</t>
  </si>
  <si>
    <t>Estimation jours pour IA</t>
  </si>
  <si>
    <t>Estimation jours    ( All Teams)</t>
  </si>
  <si>
    <t>Estimation pourcentage pour IA</t>
  </si>
  <si>
    <t>User story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</si>
</sst>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4"/>
      <color theme="1"/>
      <name val="Arial"/>
      <family val="2"/>
      <scheme val="minor"/>
    </font>
    <font>
      <i/>
      <sz val="14"/>
      <color theme="1"/>
      <name val="Arial"/>
      <family val="2"/>
      <scheme val="minor"/>
    </font>
    <font>
      <sz val="14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name val="Arial"/>
      <family val="2"/>
      <scheme val="minor"/>
    </font>
    <font>
      <b/>
      <sz val="12"/>
      <color rgb="FFFFFFFF"/>
      <name val="Arial"/>
      <family val="2"/>
    </font>
    <font>
      <b/>
      <sz val="16"/>
      <color rgb="FFFFFFFF"/>
      <name val="Arial"/>
      <family val="2"/>
    </font>
    <font>
      <sz val="2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0" xfId="0" applyFont="1" applyFill="1"/>
    <xf numFmtId="49" fontId="1" fillId="0" borderId="0" xfId="0" applyNumberFormat="1" applyFont="1"/>
    <xf numFmtId="0" fontId="0" fillId="0" borderId="1" xfId="0" applyBorder="1" applyAlignment="1">
      <alignment horizontal="left" vertical="center" wrapText="1"/>
    </xf>
    <xf numFmtId="0" fontId="0" fillId="4" borderId="0" xfId="0" applyFill="1"/>
    <xf numFmtId="0" fontId="0" fillId="5" borderId="1" xfId="0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9" fillId="2" borderId="0" xfId="0" applyFont="1" applyFill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wrapText="1"/>
    </xf>
    <xf numFmtId="9" fontId="5" fillId="5" borderId="1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9" fontId="5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wrapText="1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4"/>
  <sheetViews>
    <sheetView tabSelected="1" topLeftCell="C37" zoomScale="55" zoomScaleNormal="55" workbookViewId="0">
      <selection activeCell="J51" sqref="J51"/>
    </sheetView>
  </sheetViews>
  <sheetFormatPr baseColWidth="10" defaultColWidth="12.5703125" defaultRowHeight="30" customHeight="1" x14ac:dyDescent="0.2"/>
  <cols>
    <col min="2" max="5" width="43.42578125" customWidth="1"/>
    <col min="6" max="6" width="28.42578125" customWidth="1"/>
    <col min="7" max="7" width="26.28515625" customWidth="1"/>
    <col min="8" max="8" width="48.42578125" customWidth="1"/>
    <col min="9" max="9" width="14.42578125" customWidth="1"/>
    <col min="10" max="10" width="45.28515625" customWidth="1"/>
    <col min="11" max="11" width="29" customWidth="1"/>
    <col min="12" max="12" width="32.28515625" customWidth="1"/>
    <col min="13" max="13" width="37.7109375" customWidth="1"/>
    <col min="14" max="28" width="14.42578125" customWidth="1"/>
  </cols>
  <sheetData>
    <row r="1" spans="1:26" ht="57" customHeight="1" x14ac:dyDescent="0.3"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111</v>
      </c>
      <c r="H1" s="18" t="s">
        <v>5</v>
      </c>
      <c r="I1" s="23"/>
      <c r="J1" s="21" t="s">
        <v>115</v>
      </c>
      <c r="K1" s="27" t="s">
        <v>129</v>
      </c>
      <c r="L1" s="30" t="s">
        <v>130</v>
      </c>
      <c r="M1" s="21" t="s">
        <v>128</v>
      </c>
    </row>
    <row r="2" spans="1:26" s="4" customFormat="1" ht="120.75" customHeight="1" x14ac:dyDescent="0.25">
      <c r="B2" s="6" t="s">
        <v>6</v>
      </c>
      <c r="C2" s="6" t="s">
        <v>7</v>
      </c>
      <c r="D2" s="7" t="s">
        <v>8</v>
      </c>
      <c r="E2" s="7" t="s">
        <v>9</v>
      </c>
      <c r="F2" s="8" t="s">
        <v>10</v>
      </c>
      <c r="G2" s="8"/>
      <c r="H2" s="6" t="s">
        <v>11</v>
      </c>
      <c r="I2" s="24"/>
      <c r="J2" s="9"/>
      <c r="L2" s="29"/>
    </row>
    <row r="3" spans="1:26" ht="29.25" customHeight="1" x14ac:dyDescent="0.2">
      <c r="A3" s="36">
        <v>1</v>
      </c>
      <c r="B3" s="38" t="s">
        <v>12</v>
      </c>
      <c r="C3" s="38" t="s">
        <v>13</v>
      </c>
      <c r="D3" s="38" t="s">
        <v>14</v>
      </c>
      <c r="E3" s="38" t="s">
        <v>15</v>
      </c>
      <c r="F3" s="40">
        <v>3</v>
      </c>
      <c r="G3" s="41" t="s">
        <v>112</v>
      </c>
      <c r="H3" s="46" t="s">
        <v>89</v>
      </c>
      <c r="I3" s="44">
        <v>1</v>
      </c>
      <c r="J3" s="31"/>
      <c r="K3" s="31"/>
      <c r="L3" s="31"/>
      <c r="M3" s="34">
        <f>K3*L3</f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.75" customHeight="1" x14ac:dyDescent="0.2">
      <c r="A4" s="36"/>
      <c r="B4" s="38"/>
      <c r="C4" s="38"/>
      <c r="D4" s="38"/>
      <c r="E4" s="38"/>
      <c r="F4" s="40"/>
      <c r="G4" s="42"/>
      <c r="H4" s="46"/>
      <c r="I4" s="44"/>
      <c r="J4" s="31"/>
      <c r="K4" s="31"/>
      <c r="L4" s="31"/>
      <c r="M4" s="34"/>
    </row>
    <row r="5" spans="1:26" ht="36" x14ac:dyDescent="0.2">
      <c r="A5" s="3">
        <v>2</v>
      </c>
      <c r="B5" s="10" t="s">
        <v>16</v>
      </c>
      <c r="C5" s="10" t="s">
        <v>13</v>
      </c>
      <c r="D5" s="10" t="s">
        <v>17</v>
      </c>
      <c r="E5" s="10" t="s">
        <v>15</v>
      </c>
      <c r="F5" s="22">
        <v>5</v>
      </c>
      <c r="G5" s="13" t="s">
        <v>112</v>
      </c>
      <c r="H5" s="12" t="s">
        <v>18</v>
      </c>
      <c r="I5" s="25">
        <v>2</v>
      </c>
      <c r="J5" s="14"/>
      <c r="K5" s="16"/>
      <c r="L5" s="16"/>
      <c r="M5" s="16">
        <f>K5*L5</f>
        <v>0</v>
      </c>
    </row>
    <row r="6" spans="1:26" ht="19.5" customHeight="1" x14ac:dyDescent="0.2">
      <c r="A6" s="36">
        <v>3</v>
      </c>
      <c r="B6" s="38" t="s">
        <v>19</v>
      </c>
      <c r="C6" s="38" t="s">
        <v>20</v>
      </c>
      <c r="D6" s="38" t="s">
        <v>21</v>
      </c>
      <c r="E6" s="38" t="s">
        <v>22</v>
      </c>
      <c r="F6" s="40">
        <v>3</v>
      </c>
      <c r="G6" s="41" t="s">
        <v>113</v>
      </c>
      <c r="H6" s="47" t="s">
        <v>89</v>
      </c>
      <c r="I6" s="44">
        <v>3</v>
      </c>
      <c r="J6" s="32"/>
      <c r="K6" s="32"/>
      <c r="L6" s="32"/>
      <c r="M6" s="32">
        <f>K6*L6</f>
        <v>0</v>
      </c>
    </row>
    <row r="7" spans="1:26" ht="27.75" customHeight="1" x14ac:dyDescent="0.2">
      <c r="A7" s="36"/>
      <c r="B7" s="38"/>
      <c r="C7" s="38"/>
      <c r="D7" s="38"/>
      <c r="E7" s="38"/>
      <c r="F7" s="40"/>
      <c r="G7" s="42"/>
      <c r="H7" s="47"/>
      <c r="I7" s="44"/>
      <c r="J7" s="32"/>
      <c r="K7" s="32"/>
      <c r="L7" s="32"/>
      <c r="M7" s="32"/>
    </row>
    <row r="8" spans="1:26" ht="36" x14ac:dyDescent="0.2">
      <c r="A8" s="3">
        <v>4</v>
      </c>
      <c r="B8" s="10" t="s">
        <v>23</v>
      </c>
      <c r="C8" s="10" t="s">
        <v>20</v>
      </c>
      <c r="D8" s="10" t="s">
        <v>24</v>
      </c>
      <c r="E8" s="10" t="s">
        <v>22</v>
      </c>
      <c r="F8" s="22">
        <v>5</v>
      </c>
      <c r="G8" s="13" t="s">
        <v>112</v>
      </c>
      <c r="H8" s="12" t="s">
        <v>18</v>
      </c>
      <c r="I8" s="25">
        <v>4</v>
      </c>
      <c r="J8" s="14"/>
      <c r="K8" s="16"/>
      <c r="L8" s="16"/>
      <c r="M8" s="16">
        <f>K8*L8</f>
        <v>0</v>
      </c>
    </row>
    <row r="9" spans="1:26" ht="36" x14ac:dyDescent="0.2">
      <c r="A9" s="3">
        <v>5</v>
      </c>
      <c r="B9" s="10" t="s">
        <v>25</v>
      </c>
      <c r="C9" s="10" t="s">
        <v>20</v>
      </c>
      <c r="D9" s="10" t="s">
        <v>26</v>
      </c>
      <c r="E9" s="10" t="s">
        <v>27</v>
      </c>
      <c r="F9" s="22">
        <v>1</v>
      </c>
      <c r="G9" s="13" t="s">
        <v>113</v>
      </c>
      <c r="H9" s="12" t="s">
        <v>28</v>
      </c>
      <c r="I9" s="25">
        <v>5</v>
      </c>
      <c r="J9" s="14"/>
      <c r="K9" s="16"/>
      <c r="L9" s="16"/>
      <c r="M9" s="16">
        <f>K9*L9</f>
        <v>0</v>
      </c>
    </row>
    <row r="10" spans="1:26" ht="54" x14ac:dyDescent="0.2">
      <c r="A10" s="3">
        <v>6</v>
      </c>
      <c r="B10" s="10" t="s">
        <v>29</v>
      </c>
      <c r="C10" s="10" t="s">
        <v>20</v>
      </c>
      <c r="D10" s="10" t="s">
        <v>30</v>
      </c>
      <c r="E10" s="10" t="s">
        <v>31</v>
      </c>
      <c r="F10" s="22">
        <v>5</v>
      </c>
      <c r="G10" s="13" t="s">
        <v>112</v>
      </c>
      <c r="H10" s="15" t="s">
        <v>32</v>
      </c>
      <c r="I10" s="25">
        <v>6</v>
      </c>
      <c r="J10" s="14"/>
      <c r="K10" s="16"/>
      <c r="L10" s="16"/>
      <c r="M10" s="16">
        <f>K10*L10</f>
        <v>0</v>
      </c>
    </row>
    <row r="11" spans="1:26" ht="30" customHeight="1" x14ac:dyDescent="0.2">
      <c r="A11" s="36">
        <v>7</v>
      </c>
      <c r="B11" s="38" t="s">
        <v>33</v>
      </c>
      <c r="C11" s="39" t="s">
        <v>20</v>
      </c>
      <c r="D11" s="38" t="s">
        <v>34</v>
      </c>
      <c r="E11" s="39" t="s">
        <v>35</v>
      </c>
      <c r="F11" s="40">
        <v>3</v>
      </c>
      <c r="G11" s="41" t="s">
        <v>113</v>
      </c>
      <c r="H11" s="10" t="s">
        <v>36</v>
      </c>
      <c r="I11" s="44">
        <v>7</v>
      </c>
      <c r="J11" s="32"/>
      <c r="K11" s="32"/>
      <c r="L11" s="32"/>
      <c r="M11" s="32">
        <f>K11*L11</f>
        <v>0</v>
      </c>
    </row>
    <row r="12" spans="1:26" ht="30" customHeight="1" x14ac:dyDescent="0.2">
      <c r="A12" s="36"/>
      <c r="B12" s="38"/>
      <c r="C12" s="39"/>
      <c r="D12" s="38"/>
      <c r="E12" s="39"/>
      <c r="F12" s="40"/>
      <c r="G12" s="43"/>
      <c r="H12" s="10" t="s">
        <v>37</v>
      </c>
      <c r="I12" s="44"/>
      <c r="J12" s="32"/>
      <c r="K12" s="32"/>
      <c r="L12" s="32"/>
      <c r="M12" s="32"/>
    </row>
    <row r="13" spans="1:26" ht="30" customHeight="1" x14ac:dyDescent="0.2">
      <c r="A13" s="36"/>
      <c r="B13" s="38"/>
      <c r="C13" s="39"/>
      <c r="D13" s="38"/>
      <c r="E13" s="39"/>
      <c r="F13" s="40"/>
      <c r="G13" s="43"/>
      <c r="H13" s="10" t="s">
        <v>38</v>
      </c>
      <c r="I13" s="44"/>
      <c r="J13" s="32"/>
      <c r="K13" s="32"/>
      <c r="L13" s="32"/>
      <c r="M13" s="32"/>
    </row>
    <row r="14" spans="1:26" ht="30" customHeight="1" x14ac:dyDescent="0.2">
      <c r="A14" s="36"/>
      <c r="B14" s="38"/>
      <c r="C14" s="39"/>
      <c r="D14" s="38"/>
      <c r="E14" s="39"/>
      <c r="F14" s="40"/>
      <c r="G14" s="43"/>
      <c r="H14" s="10" t="s">
        <v>39</v>
      </c>
      <c r="I14" s="44"/>
      <c r="J14" s="32"/>
      <c r="K14" s="32"/>
      <c r="L14" s="32"/>
      <c r="M14" s="32"/>
    </row>
    <row r="15" spans="1:26" ht="30" customHeight="1" x14ac:dyDescent="0.2">
      <c r="A15" s="36"/>
      <c r="B15" s="38"/>
      <c r="C15" s="39"/>
      <c r="D15" s="38"/>
      <c r="E15" s="39"/>
      <c r="F15" s="40"/>
      <c r="G15" s="43"/>
      <c r="H15" s="10" t="s">
        <v>40</v>
      </c>
      <c r="I15" s="44"/>
      <c r="J15" s="32"/>
      <c r="K15" s="32"/>
      <c r="L15" s="32"/>
      <c r="M15" s="32"/>
    </row>
    <row r="16" spans="1:26" ht="30" customHeight="1" x14ac:dyDescent="0.2">
      <c r="A16" s="36"/>
      <c r="B16" s="38"/>
      <c r="C16" s="39"/>
      <c r="D16" s="38"/>
      <c r="E16" s="39"/>
      <c r="F16" s="40"/>
      <c r="G16" s="42"/>
      <c r="H16" s="10" t="s">
        <v>41</v>
      </c>
      <c r="I16" s="44"/>
      <c r="J16" s="32"/>
      <c r="K16" s="32"/>
      <c r="L16" s="32"/>
      <c r="M16" s="32"/>
    </row>
    <row r="17" spans="1:13" ht="30" customHeight="1" x14ac:dyDescent="0.2">
      <c r="A17" s="37">
        <v>8</v>
      </c>
      <c r="B17" s="38" t="s">
        <v>42</v>
      </c>
      <c r="C17" s="39" t="s">
        <v>20</v>
      </c>
      <c r="D17" s="38" t="s">
        <v>43</v>
      </c>
      <c r="E17" s="39" t="s">
        <v>44</v>
      </c>
      <c r="F17" s="40">
        <v>5</v>
      </c>
      <c r="G17" s="41" t="s">
        <v>112</v>
      </c>
      <c r="H17" s="10" t="s">
        <v>45</v>
      </c>
      <c r="I17" s="45">
        <v>8</v>
      </c>
      <c r="J17" s="33" t="s">
        <v>116</v>
      </c>
      <c r="K17" s="33">
        <v>5</v>
      </c>
      <c r="L17" s="35">
        <v>0.3</v>
      </c>
      <c r="M17" s="33">
        <f>K17*L17</f>
        <v>1.5</v>
      </c>
    </row>
    <row r="18" spans="1:13" ht="30" customHeight="1" x14ac:dyDescent="0.2">
      <c r="A18" s="37"/>
      <c r="B18" s="38"/>
      <c r="C18" s="39"/>
      <c r="D18" s="38"/>
      <c r="E18" s="39"/>
      <c r="F18" s="40"/>
      <c r="G18" s="43"/>
      <c r="H18" s="10" t="s">
        <v>46</v>
      </c>
      <c r="I18" s="45"/>
      <c r="J18" s="33"/>
      <c r="K18" s="33"/>
      <c r="L18" s="33"/>
      <c r="M18" s="33"/>
    </row>
    <row r="19" spans="1:13" ht="30" customHeight="1" x14ac:dyDescent="0.2">
      <c r="A19" s="37"/>
      <c r="B19" s="38"/>
      <c r="C19" s="39"/>
      <c r="D19" s="38"/>
      <c r="E19" s="39"/>
      <c r="F19" s="40"/>
      <c r="G19" s="43"/>
      <c r="H19" s="10" t="s">
        <v>47</v>
      </c>
      <c r="I19" s="45"/>
      <c r="J19" s="33"/>
      <c r="K19" s="33"/>
      <c r="L19" s="33"/>
      <c r="M19" s="33"/>
    </row>
    <row r="20" spans="1:13" ht="30" customHeight="1" x14ac:dyDescent="0.2">
      <c r="A20" s="37"/>
      <c r="B20" s="38"/>
      <c r="C20" s="39"/>
      <c r="D20" s="38"/>
      <c r="E20" s="39"/>
      <c r="F20" s="40"/>
      <c r="G20" s="43"/>
      <c r="H20" s="10" t="s">
        <v>48</v>
      </c>
      <c r="I20" s="45"/>
      <c r="J20" s="33"/>
      <c r="K20" s="33"/>
      <c r="L20" s="33"/>
      <c r="M20" s="33"/>
    </row>
    <row r="21" spans="1:13" ht="30" customHeight="1" x14ac:dyDescent="0.2">
      <c r="A21" s="37"/>
      <c r="B21" s="38"/>
      <c r="C21" s="39"/>
      <c r="D21" s="38"/>
      <c r="E21" s="39"/>
      <c r="F21" s="40"/>
      <c r="G21" s="43"/>
      <c r="H21" s="10" t="s">
        <v>49</v>
      </c>
      <c r="I21" s="45"/>
      <c r="J21" s="33"/>
      <c r="K21" s="33"/>
      <c r="L21" s="33"/>
      <c r="M21" s="33"/>
    </row>
    <row r="22" spans="1:13" ht="30" customHeight="1" x14ac:dyDescent="0.2">
      <c r="A22" s="37"/>
      <c r="B22" s="38"/>
      <c r="C22" s="39"/>
      <c r="D22" s="38"/>
      <c r="E22" s="39"/>
      <c r="F22" s="40"/>
      <c r="G22" s="43"/>
      <c r="H22" s="10" t="s">
        <v>50</v>
      </c>
      <c r="I22" s="45"/>
      <c r="J22" s="33"/>
      <c r="K22" s="33"/>
      <c r="L22" s="33"/>
      <c r="M22" s="33"/>
    </row>
    <row r="23" spans="1:13" ht="30" customHeight="1" x14ac:dyDescent="0.2">
      <c r="A23" s="37"/>
      <c r="B23" s="38"/>
      <c r="C23" s="39"/>
      <c r="D23" s="38"/>
      <c r="E23" s="39"/>
      <c r="F23" s="40"/>
      <c r="G23" s="43"/>
      <c r="H23" s="10" t="s">
        <v>51</v>
      </c>
      <c r="I23" s="45"/>
      <c r="J23" s="33"/>
      <c r="K23" s="33"/>
      <c r="L23" s="33"/>
      <c r="M23" s="33"/>
    </row>
    <row r="24" spans="1:13" ht="30" customHeight="1" x14ac:dyDescent="0.2">
      <c r="A24" s="37"/>
      <c r="B24" s="38"/>
      <c r="C24" s="39"/>
      <c r="D24" s="38"/>
      <c r="E24" s="39"/>
      <c r="F24" s="40"/>
      <c r="G24" s="42"/>
      <c r="H24" s="10" t="s">
        <v>52</v>
      </c>
      <c r="I24" s="45"/>
      <c r="J24" s="33"/>
      <c r="K24" s="33"/>
      <c r="L24" s="33"/>
      <c r="M24" s="33"/>
    </row>
    <row r="25" spans="1:13" ht="54" x14ac:dyDescent="0.2">
      <c r="A25" s="5">
        <v>9</v>
      </c>
      <c r="B25" s="10" t="s">
        <v>53</v>
      </c>
      <c r="C25" s="11" t="s">
        <v>20</v>
      </c>
      <c r="D25" s="10" t="s">
        <v>54</v>
      </c>
      <c r="E25" s="10" t="s">
        <v>55</v>
      </c>
      <c r="F25" s="22">
        <v>5</v>
      </c>
      <c r="G25" s="13" t="s">
        <v>113</v>
      </c>
      <c r="H25" s="12" t="s">
        <v>56</v>
      </c>
      <c r="I25" s="26">
        <v>9</v>
      </c>
      <c r="J25" s="20" t="s">
        <v>117</v>
      </c>
      <c r="K25" s="19">
        <v>3</v>
      </c>
      <c r="L25" s="28">
        <v>0.5</v>
      </c>
      <c r="M25" s="19">
        <f>K25*L25</f>
        <v>1.5</v>
      </c>
    </row>
    <row r="26" spans="1:13" ht="54" x14ac:dyDescent="0.2">
      <c r="A26" s="5">
        <v>10</v>
      </c>
      <c r="B26" s="10" t="s">
        <v>57</v>
      </c>
      <c r="C26" s="11" t="s">
        <v>20</v>
      </c>
      <c r="D26" s="10" t="s">
        <v>58</v>
      </c>
      <c r="E26" s="10" t="s">
        <v>55</v>
      </c>
      <c r="F26" s="22">
        <v>8</v>
      </c>
      <c r="G26" s="13" t="s">
        <v>112</v>
      </c>
      <c r="H26" s="12" t="s">
        <v>59</v>
      </c>
      <c r="I26" s="26">
        <v>10</v>
      </c>
      <c r="J26" s="20" t="s">
        <v>118</v>
      </c>
      <c r="K26" s="19">
        <v>5</v>
      </c>
      <c r="L26" s="28">
        <v>0.5</v>
      </c>
      <c r="M26" s="19">
        <f t="shared" ref="M26:M27" si="0">K26*L26</f>
        <v>2.5</v>
      </c>
    </row>
    <row r="27" spans="1:13" ht="36" x14ac:dyDescent="0.2">
      <c r="A27" s="5">
        <v>11</v>
      </c>
      <c r="B27" s="10" t="s">
        <v>60</v>
      </c>
      <c r="C27" s="11" t="s">
        <v>20</v>
      </c>
      <c r="D27" s="10" t="s">
        <v>61</v>
      </c>
      <c r="E27" s="10" t="s">
        <v>62</v>
      </c>
      <c r="F27" s="22">
        <v>8</v>
      </c>
      <c r="G27" s="13" t="s">
        <v>113</v>
      </c>
      <c r="H27" s="12" t="s">
        <v>63</v>
      </c>
      <c r="I27" s="26">
        <v>11</v>
      </c>
      <c r="J27" s="20" t="s">
        <v>119</v>
      </c>
      <c r="K27" s="19">
        <v>5</v>
      </c>
      <c r="L27" s="28">
        <v>0.5</v>
      </c>
      <c r="M27" s="19">
        <f t="shared" si="0"/>
        <v>2.5</v>
      </c>
    </row>
    <row r="28" spans="1:13" ht="36" x14ac:dyDescent="0.2">
      <c r="A28" s="3">
        <v>12</v>
      </c>
      <c r="B28" s="10" t="s">
        <v>64</v>
      </c>
      <c r="C28" s="11" t="s">
        <v>20</v>
      </c>
      <c r="D28" s="10" t="s">
        <v>65</v>
      </c>
      <c r="E28" s="10" t="s">
        <v>66</v>
      </c>
      <c r="F28" s="22">
        <v>3</v>
      </c>
      <c r="G28" s="13" t="s">
        <v>113</v>
      </c>
      <c r="H28" s="12" t="s">
        <v>67</v>
      </c>
      <c r="I28" s="25">
        <v>12</v>
      </c>
      <c r="J28" s="14"/>
      <c r="K28" s="16"/>
      <c r="L28" s="16"/>
      <c r="M28" s="16">
        <f>K28*L28</f>
        <v>0</v>
      </c>
    </row>
    <row r="29" spans="1:13" ht="36" x14ac:dyDescent="0.2">
      <c r="A29" s="5">
        <v>13</v>
      </c>
      <c r="B29" s="10" t="s">
        <v>68</v>
      </c>
      <c r="C29" s="11" t="s">
        <v>20</v>
      </c>
      <c r="D29" s="10" t="s">
        <v>69</v>
      </c>
      <c r="E29" s="10" t="s">
        <v>70</v>
      </c>
      <c r="F29" s="22">
        <v>5</v>
      </c>
      <c r="G29" s="13" t="s">
        <v>112</v>
      </c>
      <c r="H29" s="15" t="s">
        <v>74</v>
      </c>
      <c r="I29" s="26">
        <v>13</v>
      </c>
      <c r="J29" s="20" t="s">
        <v>120</v>
      </c>
      <c r="K29" s="19">
        <v>3</v>
      </c>
      <c r="L29" s="28">
        <v>0.5</v>
      </c>
      <c r="M29" s="19">
        <f>K29*L29</f>
        <v>1.5</v>
      </c>
    </row>
    <row r="30" spans="1:13" ht="43.5" customHeight="1" x14ac:dyDescent="0.2">
      <c r="A30" s="5">
        <v>14</v>
      </c>
      <c r="B30" s="10" t="s">
        <v>71</v>
      </c>
      <c r="C30" s="11" t="s">
        <v>20</v>
      </c>
      <c r="D30" s="10" t="s">
        <v>72</v>
      </c>
      <c r="E30" s="10" t="s">
        <v>73</v>
      </c>
      <c r="F30" s="22">
        <v>13</v>
      </c>
      <c r="G30" s="13" t="s">
        <v>112</v>
      </c>
      <c r="H30" s="15" t="s">
        <v>90</v>
      </c>
      <c r="I30" s="26">
        <v>14</v>
      </c>
      <c r="J30" s="20" t="s">
        <v>121</v>
      </c>
      <c r="K30" s="19">
        <v>8</v>
      </c>
      <c r="L30" s="28">
        <v>0.7</v>
      </c>
      <c r="M30" s="19">
        <f t="shared" ref="M30:M32" si="1">K30*L30</f>
        <v>5.6</v>
      </c>
    </row>
    <row r="31" spans="1:13" ht="72" x14ac:dyDescent="0.2">
      <c r="A31" s="5">
        <v>15</v>
      </c>
      <c r="B31" s="10" t="s">
        <v>75</v>
      </c>
      <c r="C31" s="11" t="s">
        <v>20</v>
      </c>
      <c r="D31" s="10" t="s">
        <v>76</v>
      </c>
      <c r="E31" s="10" t="s">
        <v>73</v>
      </c>
      <c r="F31" s="22">
        <v>13</v>
      </c>
      <c r="G31" s="13" t="s">
        <v>114</v>
      </c>
      <c r="H31" s="15" t="s">
        <v>77</v>
      </c>
      <c r="I31" s="26">
        <v>15</v>
      </c>
      <c r="J31" s="20" t="s">
        <v>122</v>
      </c>
      <c r="K31" s="19">
        <v>8</v>
      </c>
      <c r="L31" s="28">
        <v>0.5</v>
      </c>
      <c r="M31" s="19">
        <f t="shared" si="1"/>
        <v>4</v>
      </c>
    </row>
    <row r="32" spans="1:13" ht="72" x14ac:dyDescent="0.2">
      <c r="A32" s="5">
        <v>16</v>
      </c>
      <c r="B32" s="10" t="s">
        <v>78</v>
      </c>
      <c r="C32" s="11" t="s">
        <v>20</v>
      </c>
      <c r="D32" s="10" t="s">
        <v>79</v>
      </c>
      <c r="E32" s="10" t="s">
        <v>80</v>
      </c>
      <c r="F32" s="22">
        <v>20</v>
      </c>
      <c r="G32" s="13" t="s">
        <v>114</v>
      </c>
      <c r="H32" s="15" t="s">
        <v>77</v>
      </c>
      <c r="I32" s="26">
        <v>16</v>
      </c>
      <c r="J32" s="20" t="s">
        <v>123</v>
      </c>
      <c r="K32" s="19">
        <v>8</v>
      </c>
      <c r="L32" s="28">
        <v>0.5</v>
      </c>
      <c r="M32" s="19">
        <f t="shared" si="1"/>
        <v>4</v>
      </c>
    </row>
    <row r="33" spans="1:13" ht="36" x14ac:dyDescent="0.2">
      <c r="A33" s="3">
        <v>17</v>
      </c>
      <c r="B33" s="10" t="s">
        <v>81</v>
      </c>
      <c r="C33" s="11" t="s">
        <v>20</v>
      </c>
      <c r="D33" s="10" t="s">
        <v>82</v>
      </c>
      <c r="E33" s="10" t="s">
        <v>83</v>
      </c>
      <c r="F33" s="22">
        <v>5</v>
      </c>
      <c r="G33" s="13" t="s">
        <v>114</v>
      </c>
      <c r="H33" s="12" t="s">
        <v>84</v>
      </c>
      <c r="I33" s="25">
        <v>17</v>
      </c>
      <c r="J33" s="14"/>
      <c r="K33" s="16"/>
      <c r="L33" s="16"/>
      <c r="M33" s="16">
        <f>K33*L33</f>
        <v>0</v>
      </c>
    </row>
    <row r="34" spans="1:13" ht="36" x14ac:dyDescent="0.2">
      <c r="A34" s="3">
        <v>18</v>
      </c>
      <c r="B34" s="10" t="s">
        <v>85</v>
      </c>
      <c r="C34" s="11" t="s">
        <v>20</v>
      </c>
      <c r="D34" s="10" t="s">
        <v>86</v>
      </c>
      <c r="E34" s="10" t="s">
        <v>87</v>
      </c>
      <c r="F34" s="22">
        <v>8</v>
      </c>
      <c r="G34" s="13" t="s">
        <v>112</v>
      </c>
      <c r="H34" s="12" t="s">
        <v>88</v>
      </c>
      <c r="I34" s="25">
        <v>18</v>
      </c>
      <c r="J34" s="14"/>
      <c r="K34" s="16"/>
      <c r="L34" s="16"/>
      <c r="M34" s="16">
        <f>K34*L34</f>
        <v>0</v>
      </c>
    </row>
    <row r="35" spans="1:13" ht="54" x14ac:dyDescent="0.2">
      <c r="A35" s="5">
        <v>19</v>
      </c>
      <c r="B35" s="10" t="s">
        <v>91</v>
      </c>
      <c r="C35" s="11" t="s">
        <v>20</v>
      </c>
      <c r="D35" s="10" t="s">
        <v>92</v>
      </c>
      <c r="E35" s="10" t="s">
        <v>93</v>
      </c>
      <c r="F35" s="22">
        <v>8</v>
      </c>
      <c r="G35" s="13" t="s">
        <v>113</v>
      </c>
      <c r="H35" s="15" t="s">
        <v>94</v>
      </c>
      <c r="I35" s="26">
        <v>19</v>
      </c>
      <c r="J35" s="20" t="s">
        <v>124</v>
      </c>
      <c r="K35" s="19">
        <v>5</v>
      </c>
      <c r="L35" s="28">
        <v>0.25</v>
      </c>
      <c r="M35" s="19">
        <f>K35*L35</f>
        <v>1.25</v>
      </c>
    </row>
    <row r="36" spans="1:13" ht="54" x14ac:dyDescent="0.2">
      <c r="A36" s="5">
        <v>20</v>
      </c>
      <c r="B36" s="10" t="s">
        <v>91</v>
      </c>
      <c r="C36" s="11" t="s">
        <v>20</v>
      </c>
      <c r="D36" s="10" t="s">
        <v>92</v>
      </c>
      <c r="E36" s="10" t="s">
        <v>93</v>
      </c>
      <c r="F36" s="22">
        <v>13</v>
      </c>
      <c r="G36" s="13" t="s">
        <v>113</v>
      </c>
      <c r="H36" s="15" t="s">
        <v>95</v>
      </c>
      <c r="I36" s="26">
        <v>20</v>
      </c>
      <c r="J36" s="20" t="s">
        <v>125</v>
      </c>
      <c r="K36" s="19">
        <v>3</v>
      </c>
      <c r="L36" s="28">
        <v>0.4</v>
      </c>
      <c r="M36" s="19">
        <f t="shared" ref="M36:M38" si="2">K36*L36</f>
        <v>1.2000000000000002</v>
      </c>
    </row>
    <row r="37" spans="1:13" ht="36" x14ac:dyDescent="0.2">
      <c r="A37" s="5">
        <v>21</v>
      </c>
      <c r="B37" s="10" t="s">
        <v>107</v>
      </c>
      <c r="C37" s="11" t="s">
        <v>20</v>
      </c>
      <c r="D37" s="10" t="s">
        <v>103</v>
      </c>
      <c r="E37" s="10" t="s">
        <v>102</v>
      </c>
      <c r="F37" s="22">
        <v>5</v>
      </c>
      <c r="G37" s="13" t="s">
        <v>112</v>
      </c>
      <c r="H37" s="15" t="s">
        <v>96</v>
      </c>
      <c r="I37" s="26">
        <v>21</v>
      </c>
      <c r="J37" s="20" t="s">
        <v>126</v>
      </c>
      <c r="K37" s="19">
        <v>3</v>
      </c>
      <c r="L37" s="28">
        <v>0.4</v>
      </c>
      <c r="M37" s="19">
        <f t="shared" si="2"/>
        <v>1.2000000000000002</v>
      </c>
    </row>
    <row r="38" spans="1:13" ht="54" x14ac:dyDescent="0.2">
      <c r="A38" s="5">
        <v>22</v>
      </c>
      <c r="B38" s="10" t="s">
        <v>108</v>
      </c>
      <c r="C38" s="11" t="s">
        <v>20</v>
      </c>
      <c r="D38" s="10" t="s">
        <v>104</v>
      </c>
      <c r="E38" s="10" t="s">
        <v>101</v>
      </c>
      <c r="F38" s="22">
        <v>5</v>
      </c>
      <c r="G38" s="13" t="s">
        <v>112</v>
      </c>
      <c r="H38" s="15" t="s">
        <v>96</v>
      </c>
      <c r="I38" s="26">
        <v>22</v>
      </c>
      <c r="J38" s="20" t="s">
        <v>127</v>
      </c>
      <c r="K38" s="19">
        <v>3</v>
      </c>
      <c r="L38" s="28">
        <v>0.6</v>
      </c>
      <c r="M38" s="19">
        <f t="shared" si="2"/>
        <v>1.7999999999999998</v>
      </c>
    </row>
    <row r="39" spans="1:13" ht="36" x14ac:dyDescent="0.2">
      <c r="A39" s="3">
        <v>23</v>
      </c>
      <c r="B39" s="10" t="s">
        <v>109</v>
      </c>
      <c r="C39" s="11" t="s">
        <v>20</v>
      </c>
      <c r="D39" s="10" t="s">
        <v>105</v>
      </c>
      <c r="E39" s="11" t="s">
        <v>100</v>
      </c>
      <c r="F39" s="22">
        <v>3</v>
      </c>
      <c r="G39" s="13" t="s">
        <v>114</v>
      </c>
      <c r="H39" s="15" t="s">
        <v>97</v>
      </c>
      <c r="I39" s="25">
        <v>23</v>
      </c>
      <c r="J39" s="14"/>
      <c r="K39" s="14"/>
      <c r="L39" s="16"/>
      <c r="M39" s="16">
        <f>K39*L39</f>
        <v>0</v>
      </c>
    </row>
    <row r="40" spans="1:13" ht="36" x14ac:dyDescent="0.2">
      <c r="A40" s="3">
        <v>24</v>
      </c>
      <c r="B40" s="10" t="s">
        <v>110</v>
      </c>
      <c r="C40" s="11" t="s">
        <v>20</v>
      </c>
      <c r="D40" s="10" t="s">
        <v>106</v>
      </c>
      <c r="E40" s="11" t="s">
        <v>99</v>
      </c>
      <c r="F40" s="22">
        <v>8</v>
      </c>
      <c r="G40" s="13" t="s">
        <v>113</v>
      </c>
      <c r="H40" s="15" t="s">
        <v>98</v>
      </c>
      <c r="I40" s="25">
        <v>24</v>
      </c>
      <c r="J40" s="14"/>
      <c r="K40" s="14"/>
      <c r="L40" s="16"/>
      <c r="M40" s="16">
        <f>K40*L40</f>
        <v>0</v>
      </c>
    </row>
    <row r="41" spans="1:13" ht="30" customHeight="1" x14ac:dyDescent="0.2">
      <c r="H41" s="2"/>
    </row>
    <row r="42" spans="1:13" ht="30" customHeight="1" thickBot="1" x14ac:dyDescent="0.25">
      <c r="H42" s="2"/>
    </row>
    <row r="43" spans="1:13" ht="30" customHeight="1" x14ac:dyDescent="0.2">
      <c r="C43" s="48"/>
      <c r="D43" s="50" t="s">
        <v>131</v>
      </c>
      <c r="H43" s="2"/>
    </row>
    <row r="44" spans="1:13" ht="30" customHeight="1" thickBot="1" x14ac:dyDescent="0.25">
      <c r="C44" s="49"/>
      <c r="D44" s="51"/>
    </row>
  </sheetData>
  <mergeCells count="52">
    <mergeCell ref="C43:C44"/>
    <mergeCell ref="D43:D44"/>
    <mergeCell ref="G3:G4"/>
    <mergeCell ref="G6:G7"/>
    <mergeCell ref="G11:G16"/>
    <mergeCell ref="G17:G24"/>
    <mergeCell ref="I3:I4"/>
    <mergeCell ref="I6:I7"/>
    <mergeCell ref="I11:I16"/>
    <mergeCell ref="I17:I24"/>
    <mergeCell ref="H3:H4"/>
    <mergeCell ref="H6:H7"/>
    <mergeCell ref="B11:B16"/>
    <mergeCell ref="C11:C16"/>
    <mergeCell ref="D11:D16"/>
    <mergeCell ref="E11:E16"/>
    <mergeCell ref="F11:F16"/>
    <mergeCell ref="E6:E7"/>
    <mergeCell ref="F6:F7"/>
    <mergeCell ref="B3:B4"/>
    <mergeCell ref="C3:C4"/>
    <mergeCell ref="D3:D4"/>
    <mergeCell ref="E3:E4"/>
    <mergeCell ref="F3:F4"/>
    <mergeCell ref="A3:A4"/>
    <mergeCell ref="A6:A7"/>
    <mergeCell ref="A11:A16"/>
    <mergeCell ref="A17:A24"/>
    <mergeCell ref="J3:J4"/>
    <mergeCell ref="J6:J7"/>
    <mergeCell ref="J11:J16"/>
    <mergeCell ref="J17:J24"/>
    <mergeCell ref="B17:B24"/>
    <mergeCell ref="C17:C24"/>
    <mergeCell ref="D17:D24"/>
    <mergeCell ref="E17:E24"/>
    <mergeCell ref="F17:F24"/>
    <mergeCell ref="B6:B7"/>
    <mergeCell ref="C6:C7"/>
    <mergeCell ref="D6:D7"/>
    <mergeCell ref="K3:K4"/>
    <mergeCell ref="K6:K7"/>
    <mergeCell ref="K11:K16"/>
    <mergeCell ref="K17:K24"/>
    <mergeCell ref="M3:M4"/>
    <mergeCell ref="M6:M7"/>
    <mergeCell ref="M11:M16"/>
    <mergeCell ref="M17:M24"/>
    <mergeCell ref="L3:L4"/>
    <mergeCell ref="L6:L7"/>
    <mergeCell ref="L11:L16"/>
    <mergeCell ref="L17:L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djameltelecom@gmail.com</cp:lastModifiedBy>
  <dcterms:modified xsi:type="dcterms:W3CDTF">2025-11-11T00:37:22Z</dcterms:modified>
</cp:coreProperties>
</file>